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https://haagahelia-my.sharepoint.com/personal/bhi277_myy_haaga-helia_fi/Documents/Ohjelmistoprojekti 2/kamppis-server/src/test/resources/"/>
    </mc:Choice>
  </mc:AlternateContent>
  <xr:revisionPtr revIDLastSave="328" documentId="8_{AA401EEB-94A2-43D2-BD51-4687DDB1FCCD}" xr6:coauthVersionLast="47" xr6:coauthVersionMax="47" xr10:uidLastSave="{F5265535-03F6-40B6-8D70-BA4B29D17CB3}"/>
  <bookViews>
    <workbookView xWindow="25695" yWindow="0" windowWidth="26010" windowHeight="20985" activeTab="1" xr2:uid="{433FBE55-D699-4420-9B6B-32D27DFE03B9}"/>
  </bookViews>
  <sheets>
    <sheet name="And To Start With" sheetId="1" r:id="rId1"/>
    <sheet name="Aftermath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1" l="1"/>
  <c r="D36" i="3"/>
</calcChain>
</file>

<file path=xl/sharedStrings.xml><?xml version="1.0" encoding="utf-8"?>
<sst xmlns="http://schemas.openxmlformats.org/spreadsheetml/2006/main" count="306" uniqueCount="137">
  <si>
    <t>Name</t>
  </si>
  <si>
    <t>Description</t>
  </si>
  <si>
    <t>Add tests for</t>
  </si>
  <si>
    <t>Number of tests</t>
  </si>
  <si>
    <t>Package</t>
  </si>
  <si>
    <t>Currently type</t>
  </si>
  <si>
    <t>Should be type</t>
  </si>
  <si>
    <t>Comment</t>
  </si>
  <si>
    <t>LoginControllerTests</t>
  </si>
  <si>
    <t>Tests JWT token generation and access control</t>
  </si>
  <si>
    <t>- Validation
- Endpoint behaviour
- Error handling</t>
  </si>
  <si>
    <t>api</t>
  </si>
  <si>
    <t>Unit</t>
  </si>
  <si>
    <t>Integration</t>
  </si>
  <si>
    <t>ProfileControllerTests</t>
  </si>
  <si>
    <t>Tests update profile method</t>
  </si>
  <si>
    <t>SwipeControllerTests</t>
  </si>
  <si>
    <t>Tests create swipe</t>
  </si>
  <si>
    <t>UserControllerTests</t>
  </si>
  <si>
    <t>Tests findAll and findById methods</t>
  </si>
  <si>
    <t>UserProfileTest</t>
  </si>
  <si>
    <t>Tests toDTO()</t>
  </si>
  <si>
    <t>domain</t>
  </si>
  <si>
    <t>Redundant, remove</t>
  </si>
  <si>
    <t>MatchRepositoryTests</t>
  </si>
  <si>
    <t>Asserts that updatedAt changes when a user is added to match</t>
  </si>
  <si>
    <t>Custom queries</t>
  </si>
  <si>
    <t>repository</t>
  </si>
  <si>
    <t>RoomProfileRepositoryTests</t>
  </si>
  <si>
    <t>Tests query on RoomProfile</t>
  </si>
  <si>
    <t>UserProfileRepositoryTests</t>
  </si>
  <si>
    <t>Tests query on UserProfile</t>
  </si>
  <si>
    <t>FlatServiceTests</t>
  </si>
  <si>
    <t>Tests a flat's pet household status</t>
  </si>
  <si>
    <t>- Conditional flows
- Interactions with repositories
- Keep as integration if service logic is strongly dependent on DB or other services or if flow goes end-to-end (e.g. submit - save - return response)
- Double-check @Transactional</t>
  </si>
  <si>
    <t>service</t>
  </si>
  <si>
    <t>QueryServiceTests</t>
  </si>
  <si>
    <t>SwipeServiceTests</t>
  </si>
  <si>
    <t>Tests create match</t>
  </si>
  <si>
    <t>- Conditional flows
- Interactions with repositories</t>
  </si>
  <si>
    <t>UserProfileServiceTests</t>
  </si>
  <si>
    <t>Tests update user profile method</t>
  </si>
  <si>
    <t>UserServiceTests</t>
  </si>
  <si>
    <t>Tests add, update, delete, and restore user methods</t>
  </si>
  <si>
    <t>StandaloneMessageControllerTests</t>
  </si>
  <si>
    <t>- Tests TestMessageChannel
- Tests that messages are forwarded to the correct channel
- Creates custom SimpAnnotationMethodMessageHandler</t>
  </si>
  <si>
    <t>websocket</t>
  </si>
  <si>
    <t>Will not change</t>
  </si>
  <si>
    <t>TestMessageChannel</t>
  </si>
  <si>
    <t>Mocks a subscribable Websocket channel</t>
  </si>
  <si>
    <t>Support</t>
  </si>
  <si>
    <t>KamppisServerApplicationTests</t>
  </si>
  <si>
    <t>root</t>
  </si>
  <si>
    <t>TestDatabaseMockDataConfiguration</t>
  </si>
  <si>
    <t>TestPrincipal</t>
  </si>
  <si>
    <t>Mocks authenticated users</t>
  </si>
  <si>
    <t>NotYetImplemented</t>
  </si>
  <si>
    <t>Custom validators</t>
  </si>
  <si>
    <t>Done</t>
  </si>
  <si>
    <t>Any custom logic for calculations, string manipulation… including custom DTO conversion logic</t>
  </si>
  <si>
    <t>Will not implement</t>
  </si>
  <si>
    <t>Security config for endpoints only accessible to authenticated users</t>
  </si>
  <si>
    <t>Positive and negative feeds</t>
  </si>
  <si>
    <t>- Tests that custom annotations @ValidAgePreferences and @ValidFurnishedInfo work as expected</t>
  </si>
  <si>
    <t>- MessageController
- MessageRepository</t>
  </si>
  <si>
    <t>Security</t>
  </si>
  <si>
    <t>Storage</t>
  </si>
  <si>
    <t>- FileSystemStorageService
- StorageService</t>
  </si>
  <si>
    <t>security</t>
  </si>
  <si>
    <t>storage</t>
  </si>
  <si>
    <t>- Authservice
- GitHubAuthService
- UserAuthProviderRepository</t>
  </si>
  <si>
    <t>In progress</t>
  </si>
  <si>
    <t>FeedbackControllerTest</t>
  </si>
  <si>
    <t>FlatControllerTest</t>
  </si>
  <si>
    <t>ImageControllerTest</t>
  </si>
  <si>
    <t>InvitecontrollerTest</t>
  </si>
  <si>
    <t>Uses WebMVC</t>
  </si>
  <si>
    <t>Tests
- Find all feedbacks
- Post feedback</t>
  </si>
  <si>
    <t>Tests CRUD methods for Flat</t>
  </si>
  <si>
    <t>Tests get, upload, delete and update image</t>
  </si>
  <si>
    <t>Tests
- Generating a new invite token (and trying to create a token when it already exists)
- Joining a room with valid invite (and joining a room with expired invite or with user that's already been added)</t>
  </si>
  <si>
    <t>Tests
- JWT token generation
- Accessing protected endpoints with valid token (and without a token or with an expired one)</t>
  </si>
  <si>
    <t>MatchControllerTest</t>
  </si>
  <si>
    <t>LoginControllerTest</t>
  </si>
  <si>
    <t>Tests get and create Match</t>
  </si>
  <si>
    <t>Tests get and update Profile of specific subtype (and throwing 404 when subtype doesn't exist)</t>
  </si>
  <si>
    <t>RoomProfileControllerTest</t>
  </si>
  <si>
    <t>ProfileControllerTest</t>
  </si>
  <si>
    <t>Tests
- CRUD methods for RoomProfile
- Query methods</t>
  </si>
  <si>
    <t>UserProfileControllerTest</t>
  </si>
  <si>
    <t>SwipeControllerTest</t>
  </si>
  <si>
    <t>UserControllerTest</t>
  </si>
  <si>
    <t>Tests
- CRUD methods for UserProfile
- Query methods</t>
  </si>
  <si>
    <t>Uses @DataJPATest</t>
  </si>
  <si>
    <t>Tests
- Adding a new User to Match
- Finding Match by user_id
- Finding user_profiles that have a Match with a certain User
- Finding Match by multiple users
- Finding Match by the users included in specific Match</t>
  </si>
  <si>
    <t>ProfilePhotoRepositoryTest</t>
  </si>
  <si>
    <t>MatchRepositoryTest</t>
  </si>
  <si>
    <t>RoomProfileRepositoryTest</t>
  </si>
  <si>
    <t>UserProfileRepositoryTest</t>
  </si>
  <si>
    <t>FlatServiceTest</t>
  </si>
  <si>
    <t>QueryServiceTest</t>
  </si>
  <si>
    <t>SwipeServiceTest</t>
  </si>
  <si>
    <t>UserProfileServiceTest</t>
  </si>
  <si>
    <t>UserServiceTest</t>
  </si>
  <si>
    <t>ValidationServiceTest</t>
  </si>
  <si>
    <t>ProfileRepositoryTest</t>
  </si>
  <si>
    <t>RoommatePreferenceRepositoryTest</t>
  </si>
  <si>
    <t>RoomPreferenceRepositoryTest</t>
  </si>
  <si>
    <t>RoomProfileInviteRepositoryTest</t>
  </si>
  <si>
    <t>Tests finding all photos associated with a certain Profile</t>
  </si>
  <si>
    <t>Tests finding Profile by status (and returning null if no Profile was found)</t>
  </si>
  <si>
    <t>Tests finding RoommatePreference by status (and returning null if none was found)</t>
  </si>
  <si>
    <t>Tests finding RoomPreference by status (and returning null if none was found)</t>
  </si>
  <si>
    <t>Tests
- Returning an invite when token is not expired (and returning null when it is)
- Finding invite by token (and returning null when none was found)</t>
  </si>
  <si>
    <t>Tests
- Finding by active profiles
- Finding RoomProfile by User
- Filtering query results correctly
- Determining PetHousehold status
- Finding RoomProfile by UserProfile</t>
  </si>
  <si>
    <t>SwipeRepositoryTest</t>
  </si>
  <si>
    <t>UserRepositoryTest</t>
  </si>
  <si>
    <t>Tests that repository finds right swipes by swiper, swiped, and isRightSwipe = true (and returns null if not)</t>
  </si>
  <si>
    <t>Tests
- Finding User by email
- Finding users by status
- Finding users with a deletedAt value != null
- Finding users with certain email suffix</t>
  </si>
  <si>
    <t>ContextSetup</t>
  </si>
  <si>
    <t>StandaloneSetup</t>
  </si>
  <si>
    <t>setup</t>
  </si>
  <si>
    <t>Generates repository-dependent test data for repository tests</t>
  </si>
  <si>
    <t>Generates standalone test data for controller and service class tests</t>
  </si>
  <si>
    <t>RoomProfileServiceTest</t>
  </si>
  <si>
    <t>FeedbackServiceTest</t>
  </si>
  <si>
    <t>InviteServiceTest</t>
  </si>
  <si>
    <t>MatchServiceTest</t>
  </si>
  <si>
    <t>ProfileServiceTest</t>
  </si>
  <si>
    <t>Tests find and add methods</t>
  </si>
  <si>
    <t>Tests
- CRUD methods
- Methods for updating petHousehold status</t>
  </si>
  <si>
    <t>Tests finding and generating invite token</t>
  </si>
  <si>
    <t>Tests
- CRUD methods
- Adding and removing a User from Match
- Finding profiles that have matched with User</t>
  </si>
  <si>
    <t>Tests finding Profile of specific subtype (and throwing exception when none exists)</t>
  </si>
  <si>
    <t>Tests
- Returning Page of ProfileDTOs when querying matching profiles
- Returning all UserProfiles that have swiped a RoomProfile to the right</t>
  </si>
  <si>
    <t>Tests
- CRUD methods
- Finding a list of room_profiles associated with certain User</t>
  </si>
  <si>
    <t>Tests add, update, delete, and restore methods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</si>
</sst>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quotePrefix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1" fillId="0" borderId="0" xfId="0" applyFont="1"/>
    <xf numFmtId="0" fontId="0" fillId="0" borderId="0" xfId="0" applyFont="1" applyAlignment="1">
      <alignment horizontal="left" vertical="top"/>
    </xf>
    <xf numFmtId="0" fontId="0" fillId="0" borderId="0" xfId="0" applyFont="1" applyAlignment="1">
      <alignment horizontal="left" vertical="top" wrapText="1"/>
    </xf>
    <xf numFmtId="0" fontId="0" fillId="0" borderId="0" xfId="0" quotePrefix="1" applyFont="1" applyAlignment="1">
      <alignment horizontal="left" vertical="top" wrapText="1"/>
    </xf>
    <xf numFmtId="0" fontId="0" fillId="0" borderId="0" xfId="0" applyAlignment="1">
      <alignment wrapText="1"/>
    </xf>
  </cellXfs>
  <cellStyles count="1">
    <cellStyle name="Normal" xfId="0" builtinId="0"/>
  </cellStyles>
  <dxfs count="31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top" textRotation="0" wrapText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BBD558-5F9A-4166-BD68-320462E84AE8}" name="Table1" displayName="Table1" ref="A1:H26" totalsRowCount="1" headerRowDxfId="30" dataDxfId="29">
  <autoFilter ref="A1:H25" xr:uid="{4ABBD558-5F9A-4166-BD68-320462E84AE8}"/>
  <tableColumns count="8">
    <tableColumn id="1" xr3:uid="{2E81DFD8-1188-43DB-BC08-CAD1F28A391B}" name="Name" dataDxfId="28" totalsRowDxfId="8"/>
    <tableColumn id="2" xr3:uid="{4EC587E3-D8BE-4DB8-8CDA-AFB85A40D9BE}" name="Description" dataDxfId="27" totalsRowDxfId="7"/>
    <tableColumn id="3" xr3:uid="{2CB10FBF-0BCB-4A9E-B95D-F354DD34220D}" name="Add tests for" dataDxfId="26" totalsRowDxfId="6"/>
    <tableColumn id="4" xr3:uid="{4907A25E-3422-419C-A42B-B796E5FBF952}" name="Number of tests" totalsRowFunction="sum" dataDxfId="25" totalsRowDxfId="5"/>
    <tableColumn id="5" xr3:uid="{024B50CD-CC47-4E0E-8410-323D0C99CC1F}" name="Package" dataDxfId="24" totalsRowDxfId="4"/>
    <tableColumn id="6" xr3:uid="{5072D9D8-B5A6-4AC0-8F3B-514F83A80060}" name="Currently type" dataDxfId="23" totalsRowDxfId="3"/>
    <tableColumn id="7" xr3:uid="{0B11F253-7B19-4F60-924F-0A958B9F8E68}" name="Should be type" dataDxfId="22" totalsRowDxfId="2"/>
    <tableColumn id="9" xr3:uid="{3534B60A-E17B-4994-9D3A-DC96C3D3385B}" name="Comment" dataDxfId="21" totalsRowDxfId="1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0513EA-7BF0-42AC-9743-7124D696C0FB}" name="Table2" displayName="Table2" ref="A1:G36" totalsRowCount="1" headerRowDxfId="14" dataDxfId="15">
  <autoFilter ref="A1:G35" xr:uid="{420513EA-7BF0-42AC-9743-7124D696C0FB}"/>
  <tableColumns count="7">
    <tableColumn id="1" xr3:uid="{C4B73479-B4A8-4C35-9C0A-F9AF8BA29D7C}" name="Name" dataDxfId="20" totalsRowDxfId="13"/>
    <tableColumn id="2" xr3:uid="{209D6090-6DCA-4FAB-B760-90E819A5C671}" name="Description" dataDxfId="19" totalsRowDxfId="12"/>
    <tableColumn id="3" xr3:uid="{9257ECC8-E228-4E22-8417-8F965AB7ECE8}" name="Add tests for"/>
    <tableColumn id="4" xr3:uid="{A8C1695C-71E7-4846-B3AB-060EDB7C0E3D}" name="Number of tests" totalsRowFunction="sum" totalsRowDxfId="0"/>
    <tableColumn id="5" xr3:uid="{1CD419CA-6EFC-47A3-8168-8E7B3542477D}" name="Package" dataDxfId="18" totalsRowDxfId="11"/>
    <tableColumn id="6" xr3:uid="{4D1DCC3E-87F2-48C2-9B4F-FC1F56CDA6EE}" name="Currently type" dataDxfId="17" totalsRowDxfId="10"/>
    <tableColumn id="7" xr3:uid="{244FBC6C-D6B0-47DF-9777-932EA26240BC}" name="Comment" dataDxfId="16" totalsRowDxfId="9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02306-7F0C-4C45-A7F3-E957E4195D6D}">
  <dimension ref="A1:H26"/>
  <sheetViews>
    <sheetView workbookViewId="0">
      <selection activeCell="E30" sqref="E30"/>
    </sheetView>
  </sheetViews>
  <sheetFormatPr defaultRowHeight="15" x14ac:dyDescent="0.25"/>
  <cols>
    <col min="1" max="1" width="34.7109375" bestFit="1" customWidth="1"/>
    <col min="2" max="3" width="34.7109375" customWidth="1"/>
    <col min="4" max="4" width="17.7109375" customWidth="1"/>
    <col min="5" max="5" width="10.42578125" customWidth="1"/>
    <col min="6" max="6" width="16.140625" customWidth="1"/>
    <col min="7" max="7" width="16.5703125" customWidth="1"/>
    <col min="8" max="8" width="18.28515625" bestFit="1" customWidth="1"/>
  </cols>
  <sheetData>
    <row r="1" spans="1:8" s="5" customForma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spans="1:8" ht="45" x14ac:dyDescent="0.25">
      <c r="A2" s="1" t="s">
        <v>8</v>
      </c>
      <c r="B2" s="2" t="s">
        <v>9</v>
      </c>
      <c r="C2" s="3" t="s">
        <v>10</v>
      </c>
      <c r="D2" s="1">
        <v>4</v>
      </c>
      <c r="E2" s="1" t="s">
        <v>11</v>
      </c>
      <c r="F2" s="2" t="s">
        <v>12</v>
      </c>
      <c r="G2" s="2"/>
      <c r="H2" s="2" t="s">
        <v>58</v>
      </c>
    </row>
    <row r="3" spans="1:8" ht="45" x14ac:dyDescent="0.25">
      <c r="A3" s="1" t="s">
        <v>14</v>
      </c>
      <c r="B3" s="1" t="s">
        <v>15</v>
      </c>
      <c r="C3" s="3" t="s">
        <v>10</v>
      </c>
      <c r="D3" s="1">
        <v>3</v>
      </c>
      <c r="E3" s="1" t="s">
        <v>11</v>
      </c>
      <c r="F3" s="2" t="s">
        <v>13</v>
      </c>
      <c r="G3" s="2" t="s">
        <v>12</v>
      </c>
      <c r="H3" s="2" t="s">
        <v>58</v>
      </c>
    </row>
    <row r="4" spans="1:8" ht="45" x14ac:dyDescent="0.25">
      <c r="A4" s="1" t="s">
        <v>16</v>
      </c>
      <c r="B4" s="1" t="s">
        <v>17</v>
      </c>
      <c r="C4" s="3" t="s">
        <v>10</v>
      </c>
      <c r="D4" s="1">
        <v>1</v>
      </c>
      <c r="E4" s="1" t="s">
        <v>11</v>
      </c>
      <c r="F4" s="2" t="s">
        <v>12</v>
      </c>
      <c r="G4" s="2"/>
      <c r="H4" s="2" t="s">
        <v>71</v>
      </c>
    </row>
    <row r="5" spans="1:8" ht="45" x14ac:dyDescent="0.25">
      <c r="A5" s="1" t="s">
        <v>18</v>
      </c>
      <c r="B5" s="1" t="s">
        <v>19</v>
      </c>
      <c r="C5" s="3" t="s">
        <v>10</v>
      </c>
      <c r="D5" s="1">
        <v>2</v>
      </c>
      <c r="E5" s="1" t="s">
        <v>11</v>
      </c>
      <c r="F5" s="2" t="s">
        <v>12</v>
      </c>
      <c r="G5" s="2"/>
      <c r="H5" s="2" t="s">
        <v>71</v>
      </c>
    </row>
    <row r="6" spans="1:8" x14ac:dyDescent="0.25">
      <c r="A6" s="1" t="s">
        <v>20</v>
      </c>
      <c r="B6" s="1" t="s">
        <v>21</v>
      </c>
      <c r="C6" s="1"/>
      <c r="D6" s="1">
        <v>1</v>
      </c>
      <c r="E6" s="1" t="s">
        <v>22</v>
      </c>
      <c r="F6" s="1" t="s">
        <v>12</v>
      </c>
      <c r="G6" s="1"/>
      <c r="H6" s="1" t="s">
        <v>23</v>
      </c>
    </row>
    <row r="7" spans="1:8" ht="30" x14ac:dyDescent="0.25">
      <c r="A7" s="1" t="s">
        <v>24</v>
      </c>
      <c r="B7" s="2" t="s">
        <v>25</v>
      </c>
      <c r="C7" s="2" t="s">
        <v>26</v>
      </c>
      <c r="D7" s="1">
        <v>1</v>
      </c>
      <c r="E7" s="1" t="s">
        <v>27</v>
      </c>
      <c r="F7" s="1" t="s">
        <v>12</v>
      </c>
      <c r="G7" s="1" t="s">
        <v>13</v>
      </c>
      <c r="H7" s="1" t="s">
        <v>58</v>
      </c>
    </row>
    <row r="8" spans="1:8" x14ac:dyDescent="0.25">
      <c r="A8" s="1" t="s">
        <v>28</v>
      </c>
      <c r="B8" s="1" t="s">
        <v>29</v>
      </c>
      <c r="C8" s="2" t="s">
        <v>26</v>
      </c>
      <c r="D8" s="1">
        <v>6</v>
      </c>
      <c r="E8" s="1" t="s">
        <v>27</v>
      </c>
      <c r="F8" s="1" t="s">
        <v>13</v>
      </c>
      <c r="G8" s="1"/>
      <c r="H8" s="1" t="s">
        <v>58</v>
      </c>
    </row>
    <row r="9" spans="1:8" x14ac:dyDescent="0.25">
      <c r="A9" s="1" t="s">
        <v>30</v>
      </c>
      <c r="B9" s="1" t="s">
        <v>31</v>
      </c>
      <c r="C9" s="2" t="s">
        <v>26</v>
      </c>
      <c r="D9" s="1">
        <v>7</v>
      </c>
      <c r="E9" s="1" t="s">
        <v>27</v>
      </c>
      <c r="F9" s="1" t="s">
        <v>13</v>
      </c>
      <c r="G9" s="1"/>
      <c r="H9" s="1" t="s">
        <v>58</v>
      </c>
    </row>
    <row r="10" spans="1:8" ht="105" x14ac:dyDescent="0.25">
      <c r="A10" s="1" t="s">
        <v>32</v>
      </c>
      <c r="B10" s="1" t="s">
        <v>33</v>
      </c>
      <c r="C10" s="3" t="s">
        <v>34</v>
      </c>
      <c r="D10" s="1">
        <v>6</v>
      </c>
      <c r="E10" s="1" t="s">
        <v>35</v>
      </c>
      <c r="F10" s="1" t="s">
        <v>13</v>
      </c>
      <c r="G10" s="1" t="s">
        <v>12</v>
      </c>
      <c r="H10" s="1" t="s">
        <v>58</v>
      </c>
    </row>
    <row r="11" spans="1:8" ht="105" x14ac:dyDescent="0.25">
      <c r="A11" s="1" t="s">
        <v>36</v>
      </c>
      <c r="B11" s="1" t="s">
        <v>31</v>
      </c>
      <c r="C11" s="3" t="s">
        <v>34</v>
      </c>
      <c r="D11" s="1">
        <v>2</v>
      </c>
      <c r="E11" s="1" t="s">
        <v>35</v>
      </c>
      <c r="F11" s="1" t="s">
        <v>13</v>
      </c>
      <c r="G11" s="1" t="s">
        <v>12</v>
      </c>
      <c r="H11" s="1" t="s">
        <v>71</v>
      </c>
    </row>
    <row r="12" spans="1:8" ht="30" x14ac:dyDescent="0.25">
      <c r="A12" s="1" t="s">
        <v>37</v>
      </c>
      <c r="B12" s="1" t="s">
        <v>38</v>
      </c>
      <c r="C12" s="3" t="s">
        <v>39</v>
      </c>
      <c r="D12" s="1">
        <v>3</v>
      </c>
      <c r="E12" s="1" t="s">
        <v>35</v>
      </c>
      <c r="F12" s="1" t="s">
        <v>12</v>
      </c>
      <c r="G12" s="1"/>
      <c r="H12" s="1" t="s">
        <v>71</v>
      </c>
    </row>
    <row r="13" spans="1:8" ht="30" x14ac:dyDescent="0.25">
      <c r="A13" s="1" t="s">
        <v>40</v>
      </c>
      <c r="B13" s="1" t="s">
        <v>41</v>
      </c>
      <c r="C13" s="3" t="s">
        <v>39</v>
      </c>
      <c r="D13" s="1">
        <v>2</v>
      </c>
      <c r="E13" s="1" t="s">
        <v>35</v>
      </c>
      <c r="F13" s="1" t="s">
        <v>12</v>
      </c>
      <c r="G13" s="1"/>
      <c r="H13" s="1" t="s">
        <v>71</v>
      </c>
    </row>
    <row r="14" spans="1:8" ht="105" x14ac:dyDescent="0.25">
      <c r="A14" s="1" t="s">
        <v>42</v>
      </c>
      <c r="B14" s="2" t="s">
        <v>43</v>
      </c>
      <c r="C14" s="3" t="s">
        <v>34</v>
      </c>
      <c r="D14" s="2">
        <v>7</v>
      </c>
      <c r="E14" s="1" t="s">
        <v>35</v>
      </c>
      <c r="F14" s="1" t="s">
        <v>13</v>
      </c>
      <c r="G14" s="1" t="s">
        <v>12</v>
      </c>
      <c r="H14" s="1" t="s">
        <v>71</v>
      </c>
    </row>
    <row r="15" spans="1:8" ht="90" x14ac:dyDescent="0.25">
      <c r="A15" s="1" t="s">
        <v>44</v>
      </c>
      <c r="B15" s="3" t="s">
        <v>45</v>
      </c>
      <c r="C15" s="3"/>
      <c r="D15" s="3">
        <v>2</v>
      </c>
      <c r="E15" s="1" t="s">
        <v>46</v>
      </c>
      <c r="F15" s="1" t="s">
        <v>12</v>
      </c>
      <c r="G15" s="1"/>
      <c r="H15" s="1" t="s">
        <v>47</v>
      </c>
    </row>
    <row r="16" spans="1:8" ht="30" x14ac:dyDescent="0.25">
      <c r="A16" s="1" t="s">
        <v>48</v>
      </c>
      <c r="B16" s="2" t="s">
        <v>49</v>
      </c>
      <c r="C16" s="3" t="s">
        <v>64</v>
      </c>
      <c r="D16" s="2"/>
      <c r="E16" s="1" t="s">
        <v>46</v>
      </c>
      <c r="F16" s="1" t="s">
        <v>50</v>
      </c>
      <c r="G16" s="1"/>
      <c r="H16" s="1" t="s">
        <v>60</v>
      </c>
    </row>
    <row r="17" spans="1:8" x14ac:dyDescent="0.25">
      <c r="A17" s="1" t="s">
        <v>51</v>
      </c>
      <c r="B17" s="1"/>
      <c r="C17" s="1"/>
      <c r="D17" s="1">
        <v>1</v>
      </c>
      <c r="E17" s="1" t="s">
        <v>52</v>
      </c>
      <c r="F17" s="1"/>
      <c r="G17" s="1"/>
      <c r="H17" s="1" t="s">
        <v>47</v>
      </c>
    </row>
    <row r="18" spans="1:8" x14ac:dyDescent="0.25">
      <c r="A18" s="1" t="s">
        <v>53</v>
      </c>
      <c r="B18" s="1"/>
      <c r="C18" s="1"/>
      <c r="D18" s="1"/>
      <c r="E18" s="1" t="s">
        <v>52</v>
      </c>
      <c r="F18" s="1" t="s">
        <v>50</v>
      </c>
      <c r="G18" s="1"/>
      <c r="H18" s="1" t="s">
        <v>47</v>
      </c>
    </row>
    <row r="19" spans="1:8" x14ac:dyDescent="0.25">
      <c r="A19" s="1" t="s">
        <v>54</v>
      </c>
      <c r="B19" s="1" t="s">
        <v>55</v>
      </c>
      <c r="C19" s="1"/>
      <c r="D19" s="1"/>
      <c r="E19" s="1" t="s">
        <v>52</v>
      </c>
      <c r="F19" s="1" t="s">
        <v>50</v>
      </c>
      <c r="G19" s="1"/>
      <c r="H19" s="1" t="s">
        <v>47</v>
      </c>
    </row>
    <row r="20" spans="1:8" x14ac:dyDescent="0.25">
      <c r="A20" s="1" t="s">
        <v>56</v>
      </c>
      <c r="B20" s="1"/>
      <c r="C20" s="1" t="s">
        <v>57</v>
      </c>
      <c r="D20" s="1"/>
      <c r="E20" s="1"/>
      <c r="F20" s="1"/>
      <c r="G20" s="1"/>
      <c r="H20" s="1" t="s">
        <v>58</v>
      </c>
    </row>
    <row r="21" spans="1:8" ht="45" x14ac:dyDescent="0.25">
      <c r="A21" s="1" t="s">
        <v>56</v>
      </c>
      <c r="B21" s="1"/>
      <c r="C21" s="2" t="s">
        <v>59</v>
      </c>
      <c r="D21" s="1"/>
      <c r="E21" s="1"/>
      <c r="F21" s="1"/>
      <c r="G21" s="1"/>
      <c r="H21" s="1" t="s">
        <v>60</v>
      </c>
    </row>
    <row r="22" spans="1:8" ht="30" x14ac:dyDescent="0.25">
      <c r="A22" s="1" t="s">
        <v>56</v>
      </c>
      <c r="B22" s="1"/>
      <c r="C22" s="2" t="s">
        <v>61</v>
      </c>
      <c r="D22" s="1"/>
      <c r="E22" s="1"/>
      <c r="F22" s="1"/>
      <c r="G22" s="1"/>
      <c r="H22" s="1" t="s">
        <v>60</v>
      </c>
    </row>
    <row r="23" spans="1:8" x14ac:dyDescent="0.25">
      <c r="A23" s="1" t="s">
        <v>56</v>
      </c>
      <c r="B23" s="1"/>
      <c r="C23" s="1" t="s">
        <v>62</v>
      </c>
      <c r="D23" s="1"/>
      <c r="E23" s="1"/>
      <c r="F23" s="1"/>
      <c r="G23" s="1"/>
      <c r="H23" s="1" t="s">
        <v>60</v>
      </c>
    </row>
    <row r="24" spans="1:8" ht="45" x14ac:dyDescent="0.25">
      <c r="A24" s="1" t="s">
        <v>65</v>
      </c>
      <c r="B24" s="1"/>
      <c r="C24" s="3" t="s">
        <v>70</v>
      </c>
      <c r="D24" s="1"/>
      <c r="E24" s="1" t="s">
        <v>68</v>
      </c>
      <c r="F24" s="1" t="s">
        <v>12</v>
      </c>
      <c r="G24" s="1"/>
      <c r="H24" s="1" t="s">
        <v>60</v>
      </c>
    </row>
    <row r="25" spans="1:8" ht="30" x14ac:dyDescent="0.25">
      <c r="A25" s="1" t="s">
        <v>66</v>
      </c>
      <c r="B25" s="1"/>
      <c r="C25" s="3" t="s">
        <v>67</v>
      </c>
      <c r="D25" s="1"/>
      <c r="E25" s="1" t="s">
        <v>69</v>
      </c>
      <c r="F25" s="1" t="s">
        <v>12</v>
      </c>
      <c r="G25" s="1"/>
      <c r="H25" s="1" t="s">
        <v>60</v>
      </c>
    </row>
    <row r="26" spans="1:8" x14ac:dyDescent="0.25">
      <c r="A26" s="1"/>
      <c r="B26" s="1"/>
      <c r="C26" s="1"/>
      <c r="D26" s="1">
        <f>SUBTOTAL(109,Table1[Number of tests])</f>
        <v>48</v>
      </c>
      <c r="E26" s="1"/>
      <c r="F26" s="1"/>
      <c r="G26" s="1"/>
      <c r="H26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3FA6F-6055-4072-8C8C-3A04D5F9BB23}">
  <dimension ref="A1:G36"/>
  <sheetViews>
    <sheetView tabSelected="1" workbookViewId="0">
      <selection activeCell="C5" sqref="C5"/>
    </sheetView>
  </sheetViews>
  <sheetFormatPr defaultRowHeight="15" x14ac:dyDescent="0.25"/>
  <cols>
    <col min="1" max="1" width="34.7109375" bestFit="1" customWidth="1"/>
    <col min="2" max="3" width="34.7109375" customWidth="1"/>
    <col min="4" max="4" width="17.7109375" customWidth="1"/>
    <col min="5" max="5" width="10.42578125" customWidth="1"/>
    <col min="6" max="6" width="16.140625" customWidth="1"/>
    <col min="7" max="7" width="18.42578125" bestFit="1" customWidth="1"/>
  </cols>
  <sheetData>
    <row r="1" spans="1:7" s="5" customForma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7</v>
      </c>
    </row>
    <row r="2" spans="1:7" s="5" customFormat="1" ht="45" x14ac:dyDescent="0.25">
      <c r="A2" s="6" t="s">
        <v>72</v>
      </c>
      <c r="B2" s="7" t="s">
        <v>77</v>
      </c>
      <c r="C2" s="6"/>
      <c r="D2" s="6">
        <v>2</v>
      </c>
      <c r="E2" s="6" t="s">
        <v>11</v>
      </c>
      <c r="F2" s="6" t="s">
        <v>12</v>
      </c>
      <c r="G2" s="6" t="s">
        <v>76</v>
      </c>
    </row>
    <row r="3" spans="1:7" s="5" customFormat="1" x14ac:dyDescent="0.25">
      <c r="A3" s="6" t="s">
        <v>73</v>
      </c>
      <c r="B3" s="7" t="s">
        <v>78</v>
      </c>
      <c r="C3" s="6"/>
      <c r="D3" s="6">
        <v>4</v>
      </c>
      <c r="E3" s="6" t="s">
        <v>11</v>
      </c>
      <c r="F3" s="6" t="s">
        <v>12</v>
      </c>
      <c r="G3" s="6" t="s">
        <v>76</v>
      </c>
    </row>
    <row r="4" spans="1:7" s="5" customFormat="1" ht="30" x14ac:dyDescent="0.25">
      <c r="A4" s="6" t="s">
        <v>74</v>
      </c>
      <c r="B4" s="7" t="s">
        <v>79</v>
      </c>
      <c r="C4" s="6"/>
      <c r="D4" s="6">
        <v>4</v>
      </c>
      <c r="E4" s="6" t="s">
        <v>11</v>
      </c>
      <c r="F4" s="6" t="s">
        <v>12</v>
      </c>
      <c r="G4" s="6" t="s">
        <v>76</v>
      </c>
    </row>
    <row r="5" spans="1:7" s="5" customFormat="1" ht="105" x14ac:dyDescent="0.25">
      <c r="A5" s="6" t="s">
        <v>75</v>
      </c>
      <c r="B5" s="7" t="s">
        <v>80</v>
      </c>
      <c r="C5" s="6"/>
      <c r="D5" s="6">
        <v>5</v>
      </c>
      <c r="E5" s="6" t="s">
        <v>11</v>
      </c>
      <c r="F5" s="6" t="s">
        <v>12</v>
      </c>
      <c r="G5" s="6" t="s">
        <v>76</v>
      </c>
    </row>
    <row r="6" spans="1:7" ht="75" x14ac:dyDescent="0.25">
      <c r="A6" s="6" t="s">
        <v>83</v>
      </c>
      <c r="B6" s="7" t="s">
        <v>81</v>
      </c>
      <c r="C6" s="8"/>
      <c r="D6" s="6">
        <v>4</v>
      </c>
      <c r="E6" s="6" t="s">
        <v>11</v>
      </c>
      <c r="F6" s="6" t="s">
        <v>12</v>
      </c>
      <c r="G6" s="6" t="s">
        <v>76</v>
      </c>
    </row>
    <row r="7" spans="1:7" x14ac:dyDescent="0.25">
      <c r="A7" s="6" t="s">
        <v>82</v>
      </c>
      <c r="B7" s="7" t="s">
        <v>84</v>
      </c>
      <c r="C7" s="8"/>
      <c r="D7" s="6">
        <v>5</v>
      </c>
      <c r="E7" s="6" t="s">
        <v>11</v>
      </c>
      <c r="F7" s="6" t="s">
        <v>12</v>
      </c>
      <c r="G7" s="6" t="s">
        <v>76</v>
      </c>
    </row>
    <row r="8" spans="1:7" ht="45" x14ac:dyDescent="0.25">
      <c r="A8" s="6" t="s">
        <v>87</v>
      </c>
      <c r="B8" s="7" t="s">
        <v>85</v>
      </c>
      <c r="C8" s="8"/>
      <c r="D8" s="6">
        <v>5</v>
      </c>
      <c r="E8" s="6" t="s">
        <v>11</v>
      </c>
      <c r="F8" s="6" t="s">
        <v>12</v>
      </c>
      <c r="G8" s="6" t="s">
        <v>76</v>
      </c>
    </row>
    <row r="9" spans="1:7" ht="45" x14ac:dyDescent="0.25">
      <c r="A9" s="6" t="s">
        <v>86</v>
      </c>
      <c r="B9" s="7" t="s">
        <v>88</v>
      </c>
      <c r="C9" s="8"/>
      <c r="D9" s="6">
        <v>7</v>
      </c>
      <c r="E9" s="6" t="s">
        <v>11</v>
      </c>
      <c r="F9" s="6" t="s">
        <v>12</v>
      </c>
      <c r="G9" s="6" t="s">
        <v>76</v>
      </c>
    </row>
    <row r="10" spans="1:7" x14ac:dyDescent="0.25">
      <c r="A10" s="6" t="s">
        <v>90</v>
      </c>
      <c r="B10" s="6" t="s">
        <v>17</v>
      </c>
      <c r="C10" s="8"/>
      <c r="D10" s="6">
        <v>1</v>
      </c>
      <c r="E10" s="6" t="s">
        <v>11</v>
      </c>
      <c r="F10" s="6" t="s">
        <v>12</v>
      </c>
      <c r="G10" s="6" t="s">
        <v>71</v>
      </c>
    </row>
    <row r="11" spans="1:7" x14ac:dyDescent="0.25">
      <c r="A11" s="6" t="s">
        <v>91</v>
      </c>
      <c r="B11" s="6" t="s">
        <v>19</v>
      </c>
      <c r="C11" s="8"/>
      <c r="D11" s="6">
        <v>2</v>
      </c>
      <c r="E11" s="6" t="s">
        <v>11</v>
      </c>
      <c r="F11" s="6" t="s">
        <v>12</v>
      </c>
      <c r="G11" s="6" t="s">
        <v>71</v>
      </c>
    </row>
    <row r="12" spans="1:7" ht="45" x14ac:dyDescent="0.25">
      <c r="A12" s="6" t="s">
        <v>89</v>
      </c>
      <c r="B12" s="7" t="s">
        <v>92</v>
      </c>
      <c r="C12" s="8"/>
      <c r="D12" s="6">
        <v>5</v>
      </c>
      <c r="E12" s="6" t="s">
        <v>11</v>
      </c>
      <c r="F12" s="6" t="s">
        <v>12</v>
      </c>
      <c r="G12" s="6" t="s">
        <v>76</v>
      </c>
    </row>
    <row r="13" spans="1:7" ht="120" x14ac:dyDescent="0.25">
      <c r="A13" s="6" t="s">
        <v>96</v>
      </c>
      <c r="B13" s="7" t="s">
        <v>94</v>
      </c>
      <c r="C13" s="7"/>
      <c r="D13" s="6">
        <v>5</v>
      </c>
      <c r="E13" s="6" t="s">
        <v>27</v>
      </c>
      <c r="F13" s="6" t="s">
        <v>13</v>
      </c>
      <c r="G13" s="6" t="s">
        <v>93</v>
      </c>
    </row>
    <row r="14" spans="1:7" ht="30" x14ac:dyDescent="0.25">
      <c r="A14" s="6" t="s">
        <v>95</v>
      </c>
      <c r="B14" s="7" t="s">
        <v>109</v>
      </c>
      <c r="C14" s="7"/>
      <c r="D14" s="6">
        <v>1</v>
      </c>
      <c r="E14" s="6" t="s">
        <v>27</v>
      </c>
      <c r="F14" s="6" t="s">
        <v>13</v>
      </c>
      <c r="G14" s="6" t="s">
        <v>93</v>
      </c>
    </row>
    <row r="15" spans="1:7" ht="30" x14ac:dyDescent="0.25">
      <c r="A15" s="6" t="s">
        <v>105</v>
      </c>
      <c r="B15" s="7" t="s">
        <v>110</v>
      </c>
      <c r="C15" s="7"/>
      <c r="D15" s="6">
        <v>2</v>
      </c>
      <c r="E15" s="6" t="s">
        <v>27</v>
      </c>
      <c r="F15" s="6" t="s">
        <v>13</v>
      </c>
      <c r="G15" s="6" t="s">
        <v>93</v>
      </c>
    </row>
    <row r="16" spans="1:7" ht="45" x14ac:dyDescent="0.25">
      <c r="A16" s="6" t="s">
        <v>106</v>
      </c>
      <c r="B16" s="7" t="s">
        <v>111</v>
      </c>
      <c r="C16" s="7"/>
      <c r="D16" s="6">
        <v>2</v>
      </c>
      <c r="E16" s="6" t="s">
        <v>27</v>
      </c>
      <c r="F16" s="6" t="s">
        <v>13</v>
      </c>
      <c r="G16" s="6" t="s">
        <v>93</v>
      </c>
    </row>
    <row r="17" spans="1:7" ht="45" x14ac:dyDescent="0.25">
      <c r="A17" s="6" t="s">
        <v>107</v>
      </c>
      <c r="B17" s="7" t="s">
        <v>112</v>
      </c>
      <c r="C17" s="7"/>
      <c r="D17" s="6">
        <v>2</v>
      </c>
      <c r="E17" s="6" t="s">
        <v>27</v>
      </c>
      <c r="F17" s="6" t="s">
        <v>13</v>
      </c>
      <c r="G17" s="6" t="s">
        <v>93</v>
      </c>
    </row>
    <row r="18" spans="1:7" ht="90" x14ac:dyDescent="0.25">
      <c r="A18" s="6" t="s">
        <v>108</v>
      </c>
      <c r="B18" s="7" t="s">
        <v>113</v>
      </c>
      <c r="C18" s="7"/>
      <c r="D18" s="6">
        <v>4</v>
      </c>
      <c r="E18" s="6" t="s">
        <v>27</v>
      </c>
      <c r="F18" s="6" t="s">
        <v>13</v>
      </c>
      <c r="G18" s="6" t="s">
        <v>93</v>
      </c>
    </row>
    <row r="19" spans="1:7" ht="90" x14ac:dyDescent="0.25">
      <c r="A19" s="6" t="s">
        <v>97</v>
      </c>
      <c r="B19" s="7" t="s">
        <v>114</v>
      </c>
      <c r="C19" s="7"/>
      <c r="D19" s="6">
        <v>7</v>
      </c>
      <c r="E19" s="6" t="s">
        <v>27</v>
      </c>
      <c r="F19" s="6" t="s">
        <v>13</v>
      </c>
      <c r="G19" s="6" t="s">
        <v>93</v>
      </c>
    </row>
    <row r="20" spans="1:7" ht="60" x14ac:dyDescent="0.25">
      <c r="A20" s="6" t="s">
        <v>115</v>
      </c>
      <c r="B20" s="7" t="s">
        <v>117</v>
      </c>
      <c r="C20" s="7"/>
      <c r="D20" s="6">
        <v>2</v>
      </c>
      <c r="E20" s="6" t="s">
        <v>27</v>
      </c>
      <c r="F20" s="6" t="s">
        <v>13</v>
      </c>
      <c r="G20" s="6" t="s">
        <v>93</v>
      </c>
    </row>
    <row r="21" spans="1:7" x14ac:dyDescent="0.25">
      <c r="A21" s="6" t="s">
        <v>98</v>
      </c>
      <c r="B21" s="6" t="s">
        <v>31</v>
      </c>
      <c r="C21" s="7"/>
      <c r="D21" s="6">
        <v>7</v>
      </c>
      <c r="E21" s="6" t="s">
        <v>27</v>
      </c>
      <c r="F21" s="6" t="s">
        <v>13</v>
      </c>
      <c r="G21" s="6" t="s">
        <v>93</v>
      </c>
    </row>
    <row r="22" spans="1:7" ht="105" x14ac:dyDescent="0.25">
      <c r="A22" s="6" t="s">
        <v>116</v>
      </c>
      <c r="B22" s="7" t="s">
        <v>118</v>
      </c>
      <c r="C22" s="7"/>
      <c r="D22" s="6">
        <v>7</v>
      </c>
      <c r="E22" s="6" t="s">
        <v>27</v>
      </c>
      <c r="F22" s="6" t="s">
        <v>13</v>
      </c>
      <c r="G22" s="6" t="s">
        <v>93</v>
      </c>
    </row>
    <row r="23" spans="1:7" x14ac:dyDescent="0.25">
      <c r="A23" s="6" t="s">
        <v>125</v>
      </c>
      <c r="B23" s="7" t="s">
        <v>129</v>
      </c>
      <c r="C23" s="7"/>
      <c r="D23" s="6">
        <v>2</v>
      </c>
      <c r="E23" s="6" t="s">
        <v>35</v>
      </c>
      <c r="F23" s="6" t="s">
        <v>12</v>
      </c>
      <c r="G23" s="6"/>
    </row>
    <row r="24" spans="1:7" ht="60" x14ac:dyDescent="0.25">
      <c r="A24" s="6" t="s">
        <v>99</v>
      </c>
      <c r="B24" s="7" t="s">
        <v>130</v>
      </c>
      <c r="C24" s="8"/>
      <c r="D24" s="6">
        <v>8</v>
      </c>
      <c r="E24" s="6" t="s">
        <v>35</v>
      </c>
      <c r="F24" s="6" t="s">
        <v>12</v>
      </c>
      <c r="G24" s="6"/>
    </row>
    <row r="25" spans="1:7" ht="30" x14ac:dyDescent="0.25">
      <c r="A25" s="6" t="s">
        <v>126</v>
      </c>
      <c r="B25" s="7" t="s">
        <v>131</v>
      </c>
      <c r="C25" s="8"/>
      <c r="D25" s="6">
        <v>4</v>
      </c>
      <c r="E25" s="6" t="s">
        <v>35</v>
      </c>
      <c r="F25" s="6" t="s">
        <v>12</v>
      </c>
      <c r="G25" s="6"/>
    </row>
    <row r="26" spans="1:7" ht="90" x14ac:dyDescent="0.25">
      <c r="A26" s="6" t="s">
        <v>127</v>
      </c>
      <c r="B26" s="7" t="s">
        <v>132</v>
      </c>
      <c r="C26" s="8"/>
      <c r="D26" s="6">
        <v>10</v>
      </c>
      <c r="E26" s="6" t="s">
        <v>35</v>
      </c>
      <c r="F26" s="6" t="s">
        <v>12</v>
      </c>
      <c r="G26" s="6"/>
    </row>
    <row r="27" spans="1:7" ht="45" x14ac:dyDescent="0.25">
      <c r="A27" s="6" t="s">
        <v>128</v>
      </c>
      <c r="B27" s="7" t="s">
        <v>133</v>
      </c>
      <c r="C27" s="8"/>
      <c r="D27" s="6">
        <v>4</v>
      </c>
      <c r="E27" s="6" t="s">
        <v>35</v>
      </c>
      <c r="F27" s="6" t="s">
        <v>12</v>
      </c>
      <c r="G27" s="6"/>
    </row>
    <row r="28" spans="1:7" ht="75" x14ac:dyDescent="0.25">
      <c r="A28" s="6" t="s">
        <v>100</v>
      </c>
      <c r="B28" s="7" t="s">
        <v>134</v>
      </c>
      <c r="C28" s="8"/>
      <c r="D28" s="6">
        <v>4</v>
      </c>
      <c r="E28" s="6" t="s">
        <v>35</v>
      </c>
      <c r="F28" s="6" t="s">
        <v>12</v>
      </c>
      <c r="G28" s="6" t="s">
        <v>71</v>
      </c>
    </row>
    <row r="29" spans="1:7" ht="60" x14ac:dyDescent="0.25">
      <c r="A29" s="6" t="s">
        <v>124</v>
      </c>
      <c r="B29" s="7" t="s">
        <v>135</v>
      </c>
      <c r="C29" s="8"/>
      <c r="D29" s="6">
        <v>9</v>
      </c>
      <c r="E29" s="6" t="s">
        <v>35</v>
      </c>
      <c r="F29" s="6" t="s">
        <v>12</v>
      </c>
      <c r="G29" s="6"/>
    </row>
    <row r="30" spans="1:7" ht="30" x14ac:dyDescent="0.25">
      <c r="A30" s="6" t="s">
        <v>101</v>
      </c>
      <c r="B30" s="6" t="s">
        <v>38</v>
      </c>
      <c r="C30" s="8" t="s">
        <v>39</v>
      </c>
      <c r="D30" s="6">
        <v>3</v>
      </c>
      <c r="E30" s="6" t="s">
        <v>35</v>
      </c>
      <c r="F30" s="6" t="s">
        <v>12</v>
      </c>
      <c r="G30" s="6" t="s">
        <v>71</v>
      </c>
    </row>
    <row r="31" spans="1:7" ht="30" x14ac:dyDescent="0.25">
      <c r="A31" s="6" t="s">
        <v>102</v>
      </c>
      <c r="B31" s="6" t="s">
        <v>41</v>
      </c>
      <c r="C31" s="8" t="s">
        <v>39</v>
      </c>
      <c r="D31" s="6">
        <v>2</v>
      </c>
      <c r="E31" s="6" t="s">
        <v>35</v>
      </c>
      <c r="F31" s="6" t="s">
        <v>12</v>
      </c>
      <c r="G31" s="6" t="s">
        <v>71</v>
      </c>
    </row>
    <row r="32" spans="1:7" ht="105" x14ac:dyDescent="0.25">
      <c r="A32" s="6" t="s">
        <v>103</v>
      </c>
      <c r="B32" s="7" t="s">
        <v>136</v>
      </c>
      <c r="C32" s="8" t="s">
        <v>34</v>
      </c>
      <c r="D32" s="7">
        <v>7</v>
      </c>
      <c r="E32" s="6" t="s">
        <v>35</v>
      </c>
      <c r="F32" s="6" t="s">
        <v>13</v>
      </c>
      <c r="G32" s="6" t="s">
        <v>71</v>
      </c>
    </row>
    <row r="33" spans="1:7" ht="60" x14ac:dyDescent="0.25">
      <c r="A33" s="6" t="s">
        <v>104</v>
      </c>
      <c r="B33" s="8" t="s">
        <v>63</v>
      </c>
      <c r="C33" s="6"/>
      <c r="D33" s="6">
        <v>7</v>
      </c>
      <c r="E33" s="6" t="s">
        <v>35</v>
      </c>
      <c r="F33" s="6" t="s">
        <v>12</v>
      </c>
      <c r="G33" s="6"/>
    </row>
    <row r="34" spans="1:7" ht="30" x14ac:dyDescent="0.25">
      <c r="A34" s="1" t="s">
        <v>119</v>
      </c>
      <c r="B34" s="7" t="s">
        <v>122</v>
      </c>
      <c r="C34" s="2"/>
      <c r="E34" s="6" t="s">
        <v>121</v>
      </c>
      <c r="F34" s="6" t="s">
        <v>50</v>
      </c>
    </row>
    <row r="35" spans="1:7" ht="30" x14ac:dyDescent="0.25">
      <c r="A35" s="1" t="s">
        <v>120</v>
      </c>
      <c r="B35" s="9" t="s">
        <v>123</v>
      </c>
      <c r="C35" s="2"/>
      <c r="E35" s="6" t="s">
        <v>121</v>
      </c>
      <c r="F35" s="6" t="s">
        <v>50</v>
      </c>
    </row>
    <row r="36" spans="1:7" x14ac:dyDescent="0.25">
      <c r="A36" s="6"/>
      <c r="B36" s="7"/>
      <c r="D36" s="1">
        <f>SUBTOTAL(109,Table2[Number of tests])</f>
        <v>143</v>
      </c>
      <c r="E36" s="6"/>
      <c r="F36" s="6"/>
      <c r="G36" s="6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933d67-437a-4d67-b9d3-4c1415568616" xsi:nil="true"/>
    <lcf76f155ced4ddcb4097134ff3c332f xmlns="f6bcf209-90b6-4b47-8372-724e8738bc5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38D10BB934BA8E4597AC7A7C761081AB" ma:contentTypeVersion="12" ma:contentTypeDescription="Luo uusi asiakirja." ma:contentTypeScope="" ma:versionID="c8d30adeaf0cd76114adad9ae3b35eaf">
  <xsd:schema xmlns:xsd="http://www.w3.org/2001/XMLSchema" xmlns:xs="http://www.w3.org/2001/XMLSchema" xmlns:p="http://schemas.microsoft.com/office/2006/metadata/properties" xmlns:ns2="f6bcf209-90b6-4b47-8372-724e8738bc5c" xmlns:ns3="f5933d67-437a-4d67-b9d3-4c1415568616" targetNamespace="http://schemas.microsoft.com/office/2006/metadata/properties" ma:root="true" ma:fieldsID="327418df56b1fcc61d21a8225ab08713" ns2:_="" ns3:_="">
    <xsd:import namespace="f6bcf209-90b6-4b47-8372-724e8738bc5c"/>
    <xsd:import namespace="f5933d67-437a-4d67-b9d3-4c14155686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cf209-90b6-4b47-8372-724e8738bc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Kuvien tunnisteet" ma:readOnly="false" ma:fieldId="{5cf76f15-5ced-4ddc-b409-7134ff3c332f}" ma:taxonomyMulti="true" ma:sspId="b840f101-7d04-46f0-beee-8e35b8c16e4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933d67-437a-4d67-b9d3-4c141556861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6971367-6988-4ece-a873-434f0a40b237}" ma:internalName="TaxCatchAll" ma:showField="CatchAllData" ma:web="f5933d67-437a-4d67-b9d3-4c14155686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64FB5C7-6E17-43D6-A83E-1F535EC1DDE2}">
  <ds:schemaRefs>
    <ds:schemaRef ds:uri="http://schemas.microsoft.com/office/2006/metadata/properties"/>
    <ds:schemaRef ds:uri="http://schemas.microsoft.com/office/infopath/2007/PartnerControls"/>
    <ds:schemaRef ds:uri="f5933d67-437a-4d67-b9d3-4c1415568616"/>
    <ds:schemaRef ds:uri="f6bcf209-90b6-4b47-8372-724e8738bc5c"/>
  </ds:schemaRefs>
</ds:datastoreItem>
</file>

<file path=customXml/itemProps2.xml><?xml version="1.0" encoding="utf-8"?>
<ds:datastoreItem xmlns:ds="http://schemas.openxmlformats.org/officeDocument/2006/customXml" ds:itemID="{3E5A9A36-0623-4BAE-85D8-2F38B3781A0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cf209-90b6-4b47-8372-724e8738bc5c"/>
    <ds:schemaRef ds:uri="f5933d67-437a-4d67-b9d3-4c14155686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7AC02A8-BBB7-4522-9D74-911C998787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And To Start With</vt:lpstr>
      <vt:lpstr>Aftermath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Julia Hämäläinen</dc:creator>
  <cp:keywords/>
  <dc:description/>
  <cp:lastModifiedBy>Hämäläinen Julia</cp:lastModifiedBy>
  <cp:revision/>
  <dcterms:created xsi:type="dcterms:W3CDTF">2025-04-09T14:02:16Z</dcterms:created>
  <dcterms:modified xsi:type="dcterms:W3CDTF">2025-04-28T10:36:26Z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0x01010038D10BB934BA8E4597AC7A7C761081AB</vt:lpwstr>
  </property>
  <property fmtid="{D5CDD505-2E9C-101B-9397-08002B2CF9AE}" pid="3" name="MediaServiceImageTags">
    <vt:lpwstr/>
  </property>
</Properties>
</file>